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gfpXTkGGZxiSqbBbPDnvlKZTgxdQHNbsEOOi0EqYxV8="/>
    </ext>
  </extLst>
</workbook>
</file>

<file path=xl/sharedStrings.xml><?xml version="1.0" encoding="utf-8"?>
<sst xmlns="http://schemas.openxmlformats.org/spreadsheetml/2006/main" count="41" uniqueCount="40">
  <si>
    <t>Platforma</t>
  </si>
  <si>
    <t>Varianta 50 000 Kč / měsíc ev. kvartál</t>
  </si>
  <si>
    <t>Varianta 100 000 Kč / měsíc ev. kvartál</t>
  </si>
  <si>
    <t>Hlavní cíl na dané platformě</t>
  </si>
  <si>
    <t>Součinnost klienta:</t>
  </si>
  <si>
    <t>Google Ads</t>
  </si>
  <si>
    <t>Široký reach, akvizice přes Custom Intent, dynamický remarketing interpretů.</t>
  </si>
  <si>
    <t>Seznam interpretů a jejich specializace</t>
  </si>
  <si>
    <t>Orientační cena služby pro nastavení správného cílení</t>
  </si>
  <si>
    <t>Sklik</t>
  </si>
  <si>
    <t>Nativní reklama na homepage Seznam.cz, cílení na lokální B2B segment a manažery.</t>
  </si>
  <si>
    <t>Kapacita pro BOOKING</t>
  </si>
  <si>
    <t>DV360</t>
  </si>
  <si>
    <t>Nákup prémiových formátů (např. interaktivní bannery), cross-channel řízení frekvence zobrazení.</t>
  </si>
  <si>
    <t>Odkazy na SoMe</t>
  </si>
  <si>
    <t>Rozdělení Akvizice / Remarketing</t>
  </si>
  <si>
    <t>70 % / 30 %</t>
  </si>
  <si>
    <t>60 % / 40 %</t>
  </si>
  <si>
    <t>S vyšším rozpočtem lze agresivněji remarketovat a tlačit uživatele k odeslání poptávky.</t>
  </si>
  <si>
    <t>Konverzní cesta na webu - formulář, WA, emaik, SMS?</t>
  </si>
  <si>
    <t>Rozpočet na SoMe</t>
  </si>
  <si>
    <t>Intenzitu kampaně lze zcela škálovat, např. po měsíci vyhodnotit jednotlivé kanály a přeskupit podle výkonu rozpočet.</t>
  </si>
  <si>
    <t>IG, TIKTOK, YT</t>
  </si>
  <si>
    <t>Celkem za média</t>
  </si>
  <si>
    <t>Grafické práce + výroba bannerů a videoobsah, editace</t>
  </si>
  <si>
    <t>Ag. Fee + poplatek za správu kampaní</t>
  </si>
  <si>
    <t>Balíček A</t>
  </si>
  <si>
    <t>Balíček B</t>
  </si>
  <si>
    <t>Cílové publikum a strategie cílení</t>
  </si>
  <si>
    <t>Vaše cílová skupina se dělí na dvě hlavní větve. Pro maximalizaci konverzí z bannerů je nutné cílit velmi specificky, abychom nepropálili rozpočet na běžné fanoušky, kteří si rappera na akci nemohou dovolit.</t>
  </si>
  <si>
    <t>B2B (Firemní akce, eventové agentury, kluby): HR manažeři, event manažeři, majitelé hudebních klubů, promotéři a majitelé firem.</t>
  </si>
  <si>
    <t>B2C (Privátní akce): Uživatelé s vysokými příjmy, kteří plánují luxusní svatby, VIP narozeninové oslavy nebo soukromé večírky.</t>
  </si>
  <si>
    <t>Komunikační platformy</t>
  </si>
  <si>
    <t>Google Ads / DV360): Cílení na uživatele, kteří v poslední době vyhledávali klíčová slova jako „pronájem kapely“, „umělec na firemní večírek“, „eventová agentura“, „booking interpretů“ nebo jména vašich konkrétních rapperů.</t>
  </si>
  <si>
    <t>Zájmy a chování (Sklik): Cílení na návštěvníky B2B sekcí na Seznam.cz, čtenáře byznysových a lifestylových magazínů (Forbes, Hospodářské noviny, Esquire) a sekcí o luxusním zboží.</t>
  </si>
  <si>
    <t>Remarketing (Všechny platformy): Absolutně klíčový pro konverze. Agresivnější cílení na uživatele, kteří navštívili váš web nebo profil konkrétního interpreta, ale nedokončili poptávku.</t>
  </si>
  <si>
    <t>Výběr ploch a formátů</t>
  </si>
  <si>
    <t>Google Ads (Bannery / Discovery): Zajišťuje masivní plošný zásah a využívá silného strojového učení Googlu pro hledání konverzí (Performance Max pro Display). Umístění na webech a v aplikacích napříč českým internetem s afinitou k hudbě a byznysu.</t>
  </si>
  <si>
    <t>Sklik (Bannery a Nativní reklama): Zásah prémiového českého publika v ekosystému Seznamu (Seznam Zprávy, Novinky.cz, Super.cz, Garáž.cz). Nativní formáty (obrázek + text) zde mají často vyšší míru prokliku (CTR) než klasické bannery.</t>
  </si>
  <si>
    <t>DV360 (Programmatic): Zajišťuje maximální vizibilitu a prémiový dojem. Využijeme privátní dealy (PMP) pro nákup exkluzivních ploch (např. brandingy, obří high-impact bannery, rich media s videoukázkami z koncertů) na webech jako Refresher, Bbarak nebo prémiových byznys webech. DV360 navíc ohlídá frekvenci zobrazení reklamy napříč celým internetem.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</si>
</sst>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Kč&quot;;[Red]\-#,##0\ &quot;Kč&quot;"/>
  </numFmts>
  <fonts count="5">
    <font>
      <sz val="11.0"/>
      <color theme="1"/>
      <name val="Calibri"/>
      <scheme val="minor"/>
    </font>
    <font>
      <b/>
      <sz val="11.0"/>
      <color rgb="FF1F1F1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1F1F1F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0" fontId="1" numFmtId="0" xfId="0" applyAlignment="1" applyBorder="1" applyFont="1">
      <alignment horizontal="left" readingOrder="1" shrinkToFit="0" vertical="center" wrapText="1"/>
    </xf>
    <xf borderId="1" fillId="0" fontId="4" numFmtId="164" xfId="0" applyAlignment="1" applyBorder="1" applyFont="1" applyNumberFormat="1">
      <alignment horizontal="left" readingOrder="1" shrinkToFit="0" vertical="center" wrapText="1"/>
    </xf>
    <xf borderId="1" fillId="0" fontId="4" numFmtId="0" xfId="0" applyAlignment="1" applyBorder="1" applyFont="1">
      <alignment horizontal="left" readingOrder="1" shrinkToFit="0" vertical="center" wrapText="1"/>
    </xf>
    <xf borderId="2" fillId="0" fontId="1" numFmtId="0" xfId="0" applyAlignment="1" applyBorder="1" applyFont="1">
      <alignment horizontal="left" readingOrder="1" shrinkToFit="0" vertical="center" wrapText="1"/>
    </xf>
    <xf borderId="2" fillId="0" fontId="4" numFmtId="164" xfId="0" applyAlignment="1" applyBorder="1" applyFont="1" applyNumberFormat="1">
      <alignment horizontal="left" readingOrder="1" shrinkToFit="0" vertical="center" wrapText="1"/>
    </xf>
    <xf borderId="3" fillId="0" fontId="2" numFmtId="0" xfId="0" applyAlignment="1" applyBorder="1" applyFont="1">
      <alignment horizontal="left" vertical="center"/>
    </xf>
    <xf borderId="4" fillId="0" fontId="2" numFmtId="164" xfId="0" applyAlignment="1" applyBorder="1" applyFont="1" applyNumberFormat="1">
      <alignment horizontal="left" vertical="center"/>
    </xf>
    <xf borderId="5" fillId="0" fontId="2" numFmtId="164" xfId="0" applyAlignment="1" applyBorder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  <xf borderId="6" fillId="0" fontId="2" numFmtId="0" xfId="0" applyAlignment="1" applyBorder="1" applyFont="1">
      <alignment horizontal="left" vertical="center"/>
    </xf>
    <xf borderId="7" fillId="0" fontId="2" numFmtId="164" xfId="0" applyAlignment="1" applyBorder="1" applyFont="1" applyNumberFormat="1">
      <alignment horizontal="left" vertical="center"/>
    </xf>
    <xf borderId="8" fillId="0" fontId="2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left" vertical="center"/>
    </xf>
    <xf borderId="10" fillId="0" fontId="2" numFmtId="164" xfId="0" applyAlignment="1" applyBorder="1" applyFont="1" applyNumberFormat="1">
      <alignment horizontal="left" vertical="center"/>
    </xf>
    <xf borderId="1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15.86"/>
    <col customWidth="1" min="3" max="3" width="18.43"/>
    <col customWidth="1" min="4" max="4" width="39.71"/>
    <col customWidth="1" min="5" max="5" width="8.71"/>
    <col customWidth="1" min="6" max="6" width="46.57"/>
    <col customWidth="1" min="7" max="7" width="8.43"/>
    <col customWidth="1" min="8" max="8" width="50.14"/>
    <col customWidth="1" min="9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4" t="s">
        <v>5</v>
      </c>
      <c r="B2" s="5">
        <v>20000.0</v>
      </c>
      <c r="C2" s="5">
        <v>35000.0</v>
      </c>
      <c r="D2" s="6" t="s">
        <v>6</v>
      </c>
      <c r="E2" s="2"/>
      <c r="F2" s="2" t="s">
        <v>7</v>
      </c>
      <c r="G2" s="2"/>
      <c r="H2" s="2" t="s">
        <v>8</v>
      </c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4" t="s">
        <v>9</v>
      </c>
      <c r="B3" s="5">
        <v>15000.0</v>
      </c>
      <c r="C3" s="5">
        <v>30000.0</v>
      </c>
      <c r="D3" s="6" t="s">
        <v>10</v>
      </c>
      <c r="E3" s="2"/>
      <c r="F3" s="2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4" t="s">
        <v>12</v>
      </c>
      <c r="B4" s="5">
        <v>15000.0</v>
      </c>
      <c r="C4" s="5">
        <v>35000.0</v>
      </c>
      <c r="D4" s="6" t="s">
        <v>13</v>
      </c>
      <c r="E4" s="2"/>
      <c r="F4" s="2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4" t="s">
        <v>15</v>
      </c>
      <c r="B5" s="6" t="s">
        <v>16</v>
      </c>
      <c r="C5" s="6" t="s">
        <v>17</v>
      </c>
      <c r="D5" s="6" t="s">
        <v>18</v>
      </c>
      <c r="E5" s="2"/>
      <c r="F5" s="2" t="s">
        <v>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3" t="s">
        <v>20</v>
      </c>
      <c r="B7" s="2"/>
      <c r="C7" s="2"/>
      <c r="D7" s="2"/>
      <c r="E7" s="2"/>
      <c r="F7" s="2" t="s">
        <v>21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7" t="s">
        <v>22</v>
      </c>
      <c r="B9" s="8">
        <v>15000.0</v>
      </c>
      <c r="C9" s="8">
        <v>35000.0</v>
      </c>
      <c r="D9" s="6" t="s">
        <v>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52.5" customHeight="1">
      <c r="A10" s="9" t="s">
        <v>23</v>
      </c>
      <c r="B10" s="10">
        <f t="shared" ref="B10:C10" si="1">B2+B3+B4+B9</f>
        <v>65000</v>
      </c>
      <c r="C10" s="11">
        <f t="shared" si="1"/>
        <v>135000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57.0" customHeight="1">
      <c r="A13" s="9" t="s">
        <v>24</v>
      </c>
      <c r="B13" s="10">
        <v>10000.0</v>
      </c>
      <c r="C13" s="11">
        <v>15000.0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70.5" customHeight="1">
      <c r="A14" s="9" t="s">
        <v>25</v>
      </c>
      <c r="B14" s="10">
        <v>10000.0</v>
      </c>
      <c r="C14" s="11">
        <v>21000.0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2"/>
      <c r="B15" s="12">
        <f t="shared" ref="B15:C15" si="2">SUM(B13:B14)</f>
        <v>20000</v>
      </c>
      <c r="C15" s="12">
        <f t="shared" si="2"/>
        <v>36000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24.75" customHeight="1">
      <c r="A18" s="13" t="s">
        <v>26</v>
      </c>
      <c r="B18" s="14">
        <f>B10+B15</f>
        <v>85000</v>
      </c>
      <c r="C18" s="1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36.0" customHeight="1">
      <c r="A19" s="16" t="s">
        <v>27</v>
      </c>
      <c r="B19" s="17">
        <f>C10+C15</f>
        <v>171000</v>
      </c>
      <c r="C19" s="1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B22" s="2"/>
      <c r="C22" s="2"/>
    </row>
    <row r="23" ht="14.25" customHeight="1">
      <c r="A23" s="3" t="s">
        <v>28</v>
      </c>
      <c r="B23" s="2"/>
      <c r="C23" s="2"/>
    </row>
    <row r="24" ht="14.25" customHeight="1">
      <c r="A24" s="2"/>
      <c r="B24" s="2"/>
      <c r="C24" s="2"/>
    </row>
    <row r="25" ht="14.25" customHeight="1">
      <c r="A25" s="2" t="s">
        <v>29</v>
      </c>
      <c r="B25" s="2"/>
      <c r="C25" s="2"/>
    </row>
    <row r="26" ht="14.25" customHeight="1">
      <c r="A26" s="2" t="s">
        <v>30</v>
      </c>
      <c r="B26" s="2"/>
      <c r="C26" s="2"/>
    </row>
    <row r="27" ht="14.25" customHeight="1">
      <c r="A27" s="2" t="s">
        <v>31</v>
      </c>
      <c r="B27" s="2"/>
      <c r="C27" s="2"/>
    </row>
    <row r="28" ht="14.25" customHeight="1">
      <c r="A28" s="2"/>
      <c r="B28" s="2"/>
      <c r="C28" s="2"/>
    </row>
    <row r="29" ht="14.25" customHeight="1">
      <c r="A29" s="2"/>
      <c r="B29" s="2"/>
    </row>
    <row r="30" ht="14.25" customHeight="1">
      <c r="A30" s="3" t="s">
        <v>32</v>
      </c>
      <c r="B30" s="2"/>
    </row>
    <row r="31" ht="14.25" customHeight="1">
      <c r="A31" s="2"/>
      <c r="B31" s="2"/>
    </row>
    <row r="32" ht="14.25" customHeight="1">
      <c r="A32" s="2" t="s">
        <v>33</v>
      </c>
      <c r="B32" s="2"/>
    </row>
    <row r="33" ht="14.25" customHeight="1">
      <c r="A33" s="2"/>
      <c r="B33" s="2"/>
    </row>
    <row r="34" ht="14.25" customHeight="1">
      <c r="A34" s="2" t="s">
        <v>34</v>
      </c>
      <c r="B34" s="2"/>
    </row>
    <row r="35" ht="14.25" customHeight="1">
      <c r="A35" s="2"/>
      <c r="B35" s="2"/>
    </row>
    <row r="36" ht="14.25" customHeight="1">
      <c r="A36" s="2" t="s">
        <v>35</v>
      </c>
      <c r="B36" s="2"/>
    </row>
    <row r="37" ht="14.25" customHeight="1">
      <c r="A37" s="2"/>
      <c r="B37" s="2"/>
    </row>
    <row r="38" ht="14.25" customHeight="1">
      <c r="B38" s="2"/>
    </row>
    <row r="39" ht="14.25" customHeight="1">
      <c r="A39" s="3" t="s">
        <v>36</v>
      </c>
    </row>
    <row r="40" ht="14.25" customHeight="1">
      <c r="A40" s="2"/>
    </row>
    <row r="41" ht="14.25" customHeight="1">
      <c r="A41" s="2" t="s">
        <v>37</v>
      </c>
    </row>
    <row r="42" ht="14.25" customHeight="1">
      <c r="A42" s="2"/>
    </row>
    <row r="43" ht="14.25" customHeight="1">
      <c r="A43" s="2" t="s">
        <v>38</v>
      </c>
    </row>
    <row r="44" ht="14.25" customHeight="1">
      <c r="A44" s="2"/>
    </row>
    <row r="45" ht="14.25" customHeight="1">
      <c r="A45" s="2" t="s">
        <v>39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2026-02-25T13:51:19Z</dcterms:created>
  <dc:creator>Martin Kolář</dc:creator>
</cp:coreProperties>
</file>